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igital_IC_Verification_Diploma_By_Hassan_Khaled\Sessions\1-Week_One\Saturday\Assignments\Assignment One\"/>
    </mc:Choice>
  </mc:AlternateContent>
  <bookViews>
    <workbookView xWindow="0" yWindow="0" windowWidth="23040" windowHeight="9156" tabRatio="500" activeTab="3"/>
  </bookViews>
  <sheets>
    <sheet name="RTM" sheetId="1" r:id="rId1"/>
    <sheet name="Func Cov" sheetId="2" r:id="rId2"/>
    <sheet name="SVA" sheetId="3" r:id="rId3"/>
    <sheet name="Legend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</calcChain>
</file>

<file path=xl/sharedStrings.xml><?xml version="1.0" encoding="utf-8"?>
<sst xmlns="http://schemas.openxmlformats.org/spreadsheetml/2006/main" count="288" uniqueCount="178">
  <si>
    <t>Test Cases</t>
  </si>
  <si>
    <t>Req ID</t>
  </si>
  <si>
    <t>Requirement Description</t>
  </si>
  <si>
    <t>Type</t>
  </si>
  <si>
    <t>Priority</t>
  </si>
  <si>
    <t>TC ID</t>
  </si>
  <si>
    <t>Expected Output</t>
  </si>
  <si>
    <t>Actual Output</t>
  </si>
  <si>
    <t>Status</t>
  </si>
  <si>
    <t>TC Description</t>
  </si>
  <si>
    <t>Remarks</t>
  </si>
  <si>
    <t>REQ-001</t>
  </si>
  <si>
    <t>Reset signal shall initialize all registers to zero</t>
  </si>
  <si>
    <t>Functional</t>
  </si>
  <si>
    <t>High</t>
  </si>
  <si>
    <t>TC-001</t>
  </si>
  <si>
    <t>All regs = 0x00</t>
  </si>
  <si>
    <t>Verified</t>
  </si>
  <si>
    <t>Apply reset for 2 cycles; verify all registers = 0</t>
  </si>
  <si>
    <t>REQ-002</t>
  </si>
  <si>
    <t>Counter shall increment by 1 on each rising clock edge</t>
  </si>
  <si>
    <t>TC-002</t>
  </si>
  <si>
    <t>count = prev + 1</t>
  </si>
  <si>
    <t>Drive 10 clock cycles; verify count increments correctly</t>
  </si>
  <si>
    <t>REQ-003</t>
  </si>
  <si>
    <t>Output shall remain stable during hold time</t>
  </si>
  <si>
    <t>Timing</t>
  </si>
  <si>
    <t>Medium</t>
  </si>
  <si>
    <t>TC-003</t>
  </si>
  <si>
    <t>No glitch detected</t>
  </si>
  <si>
    <t>Glitch at cycle 5</t>
  </si>
  <si>
    <t>Failed</t>
  </si>
  <si>
    <t>Measure hold time at output pin</t>
  </si>
  <si>
    <t>Re-check hold constraint</t>
  </si>
  <si>
    <t>REQ-004</t>
  </si>
  <si>
    <t>Module shall handle back-pressure from downstream</t>
  </si>
  <si>
    <t>Interface</t>
  </si>
  <si>
    <t>TC-004</t>
  </si>
  <si>
    <t>Data buffered, 0 drops</t>
  </si>
  <si>
    <t>Pending</t>
  </si>
  <si>
    <t>Assert ready=0; verify no data loss</t>
  </si>
  <si>
    <t>REQ-005</t>
  </si>
  <si>
    <t>Error flag shall assert within 1 cycle of fault detection</t>
  </si>
  <si>
    <t>Safety</t>
  </si>
  <si>
    <t>Critical</t>
  </si>
  <si>
    <t>TC-005</t>
  </si>
  <si>
    <t>err_flag=1 within 1 clk</t>
  </si>
  <si>
    <t>Inject fault; measure assertion latency</t>
  </si>
  <si>
    <t>Summary</t>
  </si>
  <si>
    <t>Total Requirements</t>
  </si>
  <si>
    <t>Coverage %</t>
  </si>
  <si>
    <t>Functional Coverage Plan</t>
  </si>
  <si>
    <t>CovGrp ID</t>
  </si>
  <si>
    <t>Covergroup Name</t>
  </si>
  <si>
    <t>Coverpoint Name</t>
  </si>
  <si>
    <t>Bin / Cross Definition</t>
  </si>
  <si>
    <t>Legal Values / Range</t>
  </si>
  <si>
    <t>Weight</t>
  </si>
  <si>
    <t>Target Hits</t>
  </si>
  <si>
    <t>Actual Hits</t>
  </si>
  <si>
    <t>CG-001</t>
  </si>
  <si>
    <t>cg_reset</t>
  </si>
  <si>
    <t>cp_reset_active</t>
  </si>
  <si>
    <t>reset = 1'b1</t>
  </si>
  <si>
    <t>bin</t>
  </si>
  <si>
    <t>1'b1</t>
  </si>
  <si>
    <t>1</t>
  </si>
  <si>
    <t>Hit</t>
  </si>
  <si>
    <t>cp_reset_inactive</t>
  </si>
  <si>
    <t>reset = 1'b0</t>
  </si>
  <si>
    <t>1'b0</t>
  </si>
  <si>
    <t>16</t>
  </si>
  <si>
    <t>CG-002</t>
  </si>
  <si>
    <t>cg_counter</t>
  </si>
  <si>
    <t>cp_count_values</t>
  </si>
  <si>
    <t>count in [0:15]</t>
  </si>
  <si>
    <t>0 - 15</t>
  </si>
  <si>
    <t>2</t>
  </si>
  <si>
    <t>cp_count_overflow</t>
  </si>
  <si>
    <t>count wraps 15 to 0</t>
  </si>
  <si>
    <t>transition</t>
  </si>
  <si>
    <t>15-&gt;0</t>
  </si>
  <si>
    <t>0</t>
  </si>
  <si>
    <t>Miss</t>
  </si>
  <si>
    <t>CG-003</t>
  </si>
  <si>
    <t>cg_iface</t>
  </si>
  <si>
    <t>cx_data_valid</t>
  </si>
  <si>
    <t>data x valid cross</t>
  </si>
  <si>
    <t>cross</t>
  </si>
  <si>
    <t>all</t>
  </si>
  <si>
    <t>4</t>
  </si>
  <si>
    <t>cp_ready_deassert</t>
  </si>
  <si>
    <t>ready=0 while busy</t>
  </si>
  <si>
    <t>SystemVerilog Assertions Plan</t>
  </si>
  <si>
    <t>Assert ID</t>
  </si>
  <si>
    <t>Assertion Name</t>
  </si>
  <si>
    <t>SVA Property</t>
  </si>
  <si>
    <t>Category</t>
  </si>
  <si>
    <t>Expected Result</t>
  </si>
  <si>
    <t>Actual Result</t>
  </si>
  <si>
    <t>SVA-001</t>
  </si>
  <si>
    <t>p_reset_clears_all</t>
  </si>
  <si>
    <t>concurrent</t>
  </si>
  <si>
    <t>@(posedge clk) rst_n |=&gt; (count==0)</t>
  </si>
  <si>
    <t>Pass</t>
  </si>
  <si>
    <t>SVA-002</t>
  </si>
  <si>
    <t>p_count_no_skip</t>
  </si>
  <si>
    <t>@(posedge clk) !rst_n |=&gt; (count==$past(count)+1)</t>
  </si>
  <si>
    <t>SVA-003</t>
  </si>
  <si>
    <t>p_overflow_wrap</t>
  </si>
  <si>
    <t>@(posedge clk) (count==4'hF) |=&gt; (count==4'h0)</t>
  </si>
  <si>
    <t>Fail</t>
  </si>
  <si>
    <t>SVA-004</t>
  </si>
  <si>
    <t>p_ready_handshake</t>
  </si>
  <si>
    <t>@(posedge clk) (valid&amp;&amp;!ready) |=&gt; ##[1:4] ready</t>
  </si>
  <si>
    <t>SVA-005</t>
  </si>
  <si>
    <t>p_no_x_on_output</t>
  </si>
  <si>
    <t>immediate</t>
  </si>
  <si>
    <t>assert final (!$isunknown(data_out))</t>
  </si>
  <si>
    <t>Structural</t>
  </si>
  <si>
    <t>SVA-006</t>
  </si>
  <si>
    <t>cv_all_states</t>
  </si>
  <si>
    <t>cover</t>
  </si>
  <si>
    <t>@(posedge clk) (state == S_IDLE)</t>
  </si>
  <si>
    <t>Reachability</t>
  </si>
  <si>
    <t>SVA-007</t>
  </si>
  <si>
    <t>as_valid_data</t>
  </si>
  <si>
    <t>assume</t>
  </si>
  <si>
    <t>@(posedge clk) valid |-&gt; (data !== 8'hXX)</t>
  </si>
  <si>
    <t>Constraint</t>
  </si>
  <si>
    <t>Legends &amp; Reference Guide</t>
  </si>
  <si>
    <t>RTM — Status Values</t>
  </si>
  <si>
    <t>SVA — Assertion Types</t>
  </si>
  <si>
    <t>Test passed; actual output matches expected</t>
  </si>
  <si>
    <t>Clock-based; evaluated at every clock edge across multiple cycles</t>
  </si>
  <si>
    <t>Test executed but output does not match expected</t>
  </si>
  <si>
    <t>Combinational; evaluated instantly like a procedural if-statement</t>
  </si>
  <si>
    <t>Test not yet executed</t>
  </si>
  <si>
    <t>Constrains inputs for formal verification tools</t>
  </si>
  <si>
    <t>Blocked</t>
  </si>
  <si>
    <t>Cannot run due to dependency or environment issue</t>
  </si>
  <si>
    <t>Checks that a sequence or property is reachable</t>
  </si>
  <si>
    <t>N/A</t>
  </si>
  <si>
    <t>Not applicable to this assignment</t>
  </si>
  <si>
    <t>SVA — Category Definitions</t>
  </si>
  <si>
    <t>RTM — Requirement Types</t>
  </si>
  <si>
    <t>Asserts that a forbidden condition never occurs</t>
  </si>
  <si>
    <t>Describes what the design must do</t>
  </si>
  <si>
    <t>Verifies correct functional behavior of the design</t>
  </si>
  <si>
    <t>Specifies setup, hold, or latency constraints</t>
  </si>
  <si>
    <t>Checks protocol correctness between sender and receiver</t>
  </si>
  <si>
    <t>Defines signal protocols and handshaking</t>
  </si>
  <si>
    <t>Verifies internal design integrity (no X/Z, no overflow)</t>
  </si>
  <si>
    <t>Covers fault detection and recovery behavior</t>
  </si>
  <si>
    <t>Cover property confirming a state or event can be reached</t>
  </si>
  <si>
    <t>Concerns internal architecture or resource limits</t>
  </si>
  <si>
    <t>Assume property restricting stimulus to legal input space</t>
  </si>
  <si>
    <t>RTM — Priority Levels</t>
  </si>
  <si>
    <t>SVA — Status Values</t>
  </si>
  <si>
    <t>Must pass; failure blocks sign-off</t>
  </si>
  <si>
    <t>Assertion evaluated and property held throughout simulation</t>
  </si>
  <si>
    <t>Core functionality; must pass for submission</t>
  </si>
  <si>
    <t>Assertion fired; property was violated</t>
  </si>
  <si>
    <t>Important but not blocking</t>
  </si>
  <si>
    <t>Simulation not yet run for this assertion</t>
  </si>
  <si>
    <t>Low</t>
  </si>
  <si>
    <t>Nice-to-have; addressed if time permits</t>
  </si>
  <si>
    <t>Functional Coverage — Bin Types</t>
  </si>
  <si>
    <t>Covers a single value or explicit list of values</t>
  </si>
  <si>
    <t>Covers the Cartesian product of two or more coverpoints</t>
  </si>
  <si>
    <t>Covers a specific sequence of value changes</t>
  </si>
  <si>
    <t>wildcard</t>
  </si>
  <si>
    <t>Covers a range using wildcard bits</t>
  </si>
  <si>
    <t>Functional Coverage — Status Values</t>
  </si>
  <si>
    <t>Actual hits meet or exceed the target hits</t>
  </si>
  <si>
    <t>Actual hits are below the target hits</t>
  </si>
  <si>
    <t>Simulation not yet run for this coverpoint</t>
  </si>
  <si>
    <t>Requirements Testing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</si>
</sst>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\%"/>
  </numFmts>
  <fonts count="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E4620"/>
        <bgColor rgb="FF333300"/>
      </patternFill>
    </fill>
    <fill>
      <patternFill patternType="solid">
        <fgColor rgb="FF2E7D32"/>
        <bgColor rgb="FF00800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F5F5F5"/>
      </patternFill>
    </fill>
  </fills>
  <borders count="4">
    <border>
      <left/>
      <right/>
      <top/>
      <bottom/>
      <diagonal/>
    </border>
    <border>
      <left style="medium">
        <color rgb="FF1E4620"/>
      </left>
      <right/>
      <top style="medium">
        <color rgb="FF1E4620"/>
      </top>
      <bottom style="medium">
        <color rgb="FF1E462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center" vertical="center" wrapText="1"/>
    </xf>
    <xf numFmtId="164" fontId="3" fillId="5" borderId="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2E7D32"/>
      <rgbColor rgb="FF003300"/>
      <rgbColor rgb="FF333300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L15"/>
  <sheetViews>
    <sheetView showGridLines="0" zoomScale="53" zoomScaleNormal="100" workbookViewId="0">
      <pane ySplit="3" topLeftCell="A4" activePane="bottomLeft" state="frozen"/>
      <selection pane="bottomLeft" activeCell="G21" sqref="G21"/>
    </sheetView>
  </sheetViews>
  <sheetFormatPr defaultColWidth="8.6640625" defaultRowHeight="14.4" x14ac:dyDescent="0.3"/>
  <cols>
    <col min="1" max="1" width="10" customWidth="1"/>
    <col min="2" max="2" width="34" customWidth="1"/>
    <col min="3" max="3" width="14" customWidth="1"/>
    <col min="4" max="4" width="12" customWidth="1"/>
    <col min="5" max="5" width="10" customWidth="1"/>
    <col min="6" max="7" width="24" customWidth="1"/>
    <col min="8" max="8" width="13" customWidth="1"/>
    <col min="9" max="9" width="2" customWidth="1"/>
    <col min="10" max="10" width="10" customWidth="1"/>
    <col min="11" max="11" width="40" customWidth="1"/>
    <col min="12" max="12" width="22" customWidth="1"/>
  </cols>
  <sheetData>
    <row r="1" spans="1:12" ht="7.5" customHeight="1" x14ac:dyDescent="0.3"/>
    <row r="2" spans="1:12" ht="36" customHeight="1" x14ac:dyDescent="0.3">
      <c r="A2" s="11" t="s">
        <v>177</v>
      </c>
      <c r="B2" s="11"/>
      <c r="C2" s="11"/>
      <c r="D2" s="11"/>
      <c r="E2" s="11"/>
      <c r="F2" s="11"/>
      <c r="G2" s="11"/>
      <c r="H2" s="11"/>
      <c r="J2" s="11" t="s">
        <v>0</v>
      </c>
      <c r="K2" s="11"/>
      <c r="L2" s="11"/>
    </row>
    <row r="3" spans="1:12" ht="30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J3" s="1" t="s">
        <v>5</v>
      </c>
      <c r="K3" s="1" t="s">
        <v>9</v>
      </c>
      <c r="L3" s="1" t="s">
        <v>10</v>
      </c>
    </row>
    <row r="4" spans="1:12" ht="25.5" customHeight="1" x14ac:dyDescent="0.3">
      <c r="A4" s="2" t="s">
        <v>11</v>
      </c>
      <c r="B4" s="3" t="s">
        <v>12</v>
      </c>
      <c r="C4" s="2" t="s">
        <v>13</v>
      </c>
      <c r="D4" s="2" t="s">
        <v>14</v>
      </c>
      <c r="E4" s="2" t="s">
        <v>15</v>
      </c>
      <c r="F4" s="3" t="s">
        <v>16</v>
      </c>
      <c r="G4" s="3" t="s">
        <v>16</v>
      </c>
      <c r="H4" s="2" t="s">
        <v>17</v>
      </c>
      <c r="J4" s="2" t="s">
        <v>15</v>
      </c>
      <c r="K4" s="3" t="s">
        <v>18</v>
      </c>
      <c r="L4" s="3"/>
    </row>
    <row r="5" spans="1:12" ht="25.5" customHeight="1" x14ac:dyDescent="0.3">
      <c r="A5" s="4" t="s">
        <v>19</v>
      </c>
      <c r="B5" s="5" t="s">
        <v>20</v>
      </c>
      <c r="C5" s="4" t="s">
        <v>13</v>
      </c>
      <c r="D5" s="4" t="s">
        <v>14</v>
      </c>
      <c r="E5" s="4" t="s">
        <v>21</v>
      </c>
      <c r="F5" s="5" t="s">
        <v>22</v>
      </c>
      <c r="G5" s="5" t="s">
        <v>22</v>
      </c>
      <c r="H5" s="4" t="s">
        <v>17</v>
      </c>
      <c r="J5" s="4" t="s">
        <v>21</v>
      </c>
      <c r="K5" s="5" t="s">
        <v>23</v>
      </c>
      <c r="L5" s="5"/>
    </row>
    <row r="6" spans="1:12" ht="25.5" customHeight="1" x14ac:dyDescent="0.3">
      <c r="A6" s="2" t="s">
        <v>24</v>
      </c>
      <c r="B6" s="3" t="s">
        <v>25</v>
      </c>
      <c r="C6" s="2" t="s">
        <v>26</v>
      </c>
      <c r="D6" s="2" t="s">
        <v>27</v>
      </c>
      <c r="E6" s="2" t="s">
        <v>28</v>
      </c>
      <c r="F6" s="3" t="s">
        <v>29</v>
      </c>
      <c r="G6" s="3" t="s">
        <v>30</v>
      </c>
      <c r="H6" s="2" t="s">
        <v>31</v>
      </c>
      <c r="J6" s="2" t="s">
        <v>28</v>
      </c>
      <c r="K6" s="3" t="s">
        <v>32</v>
      </c>
      <c r="L6" s="3" t="s">
        <v>33</v>
      </c>
    </row>
    <row r="7" spans="1:12" ht="25.5" customHeight="1" x14ac:dyDescent="0.3">
      <c r="A7" s="4" t="s">
        <v>34</v>
      </c>
      <c r="B7" s="5" t="s">
        <v>35</v>
      </c>
      <c r="C7" s="4" t="s">
        <v>36</v>
      </c>
      <c r="D7" s="4" t="s">
        <v>14</v>
      </c>
      <c r="E7" s="4" t="s">
        <v>37</v>
      </c>
      <c r="F7" s="5" t="s">
        <v>38</v>
      </c>
      <c r="G7" s="5"/>
      <c r="H7" s="4" t="s">
        <v>39</v>
      </c>
      <c r="J7" s="4" t="s">
        <v>37</v>
      </c>
      <c r="K7" s="5" t="s">
        <v>40</v>
      </c>
      <c r="L7" s="5"/>
    </row>
    <row r="8" spans="1:12" ht="25.5" customHeight="1" x14ac:dyDescent="0.3">
      <c r="A8" s="2" t="s">
        <v>41</v>
      </c>
      <c r="B8" s="3" t="s">
        <v>42</v>
      </c>
      <c r="C8" s="2" t="s">
        <v>43</v>
      </c>
      <c r="D8" s="2" t="s">
        <v>44</v>
      </c>
      <c r="E8" s="2" t="s">
        <v>45</v>
      </c>
      <c r="F8" s="3" t="s">
        <v>46</v>
      </c>
      <c r="G8" s="3"/>
      <c r="H8" s="2" t="s">
        <v>39</v>
      </c>
      <c r="J8" s="2" t="s">
        <v>45</v>
      </c>
      <c r="K8" s="3" t="s">
        <v>47</v>
      </c>
      <c r="L8" s="3"/>
    </row>
    <row r="10" spans="1:12" ht="18" customHeight="1" x14ac:dyDescent="0.3">
      <c r="A10" s="12" t="s">
        <v>48</v>
      </c>
      <c r="B10" s="12"/>
      <c r="C10" s="12"/>
    </row>
    <row r="11" spans="1:12" ht="18" customHeight="1" x14ac:dyDescent="0.3">
      <c r="A11" s="6" t="s">
        <v>49</v>
      </c>
      <c r="B11" s="9">
        <f>COUNTA(A4:A8)</f>
        <v>5</v>
      </c>
      <c r="C11" s="9"/>
    </row>
    <row r="12" spans="1:12" ht="18" customHeight="1" x14ac:dyDescent="0.3">
      <c r="A12" s="6" t="s">
        <v>17</v>
      </c>
      <c r="B12" s="9">
        <f>COUNTIF(H4:H8,"Verified")</f>
        <v>2</v>
      </c>
      <c r="C12" s="9"/>
    </row>
    <row r="13" spans="1:12" ht="18" customHeight="1" x14ac:dyDescent="0.3">
      <c r="A13" s="6" t="s">
        <v>31</v>
      </c>
      <c r="B13" s="9">
        <f>COUNTIF(H4:H8,"Failed")</f>
        <v>1</v>
      </c>
      <c r="C13" s="9"/>
    </row>
    <row r="14" spans="1:12" ht="18" customHeight="1" x14ac:dyDescent="0.3">
      <c r="A14" s="6" t="s">
        <v>39</v>
      </c>
      <c r="B14" s="9">
        <f>COUNTIF(H4:H8,"Pending")</f>
        <v>2</v>
      </c>
      <c r="C14" s="9"/>
    </row>
    <row r="15" spans="1:12" ht="18" customHeight="1" x14ac:dyDescent="0.3">
      <c r="A15" s="6" t="s">
        <v>50</v>
      </c>
      <c r="B15" s="10">
        <f>IFERROR(COUNTIF(H4:H8,"Verified")/COUNTA(A4:A8)*100,0)</f>
        <v>40</v>
      </c>
      <c r="C15" s="10"/>
    </row>
  </sheetData>
  <mergeCells count="8">
    <mergeCell ref="B13:C13"/>
    <mergeCell ref="B14:C14"/>
    <mergeCell ref="B15:C15"/>
    <mergeCell ref="A2:H2"/>
    <mergeCell ref="J2:L2"/>
    <mergeCell ref="A10:C10"/>
    <mergeCell ref="B11:C11"/>
    <mergeCell ref="B12:C12"/>
  </mergeCells>
  <dataValidations count="3">
    <dataValidation type="list" allowBlank="1" sqref="C4:C8">
      <formula1>"Functional,Timing,Interface,Safety,Structural"</formula1>
      <formula2>0</formula2>
    </dataValidation>
    <dataValidation type="list" allowBlank="1" sqref="D4:D8">
      <formula1>"Critical,High,Medium,Low"</formula1>
      <formula2>0</formula2>
    </dataValidation>
    <dataValidation type="list" allowBlank="1" sqref="H4:H8">
      <formula1>"Verified,Failed,Pending,Blocked,N/A"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J9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0" customWidth="1"/>
    <col min="3" max="3" width="22" customWidth="1"/>
    <col min="4" max="4" width="30" customWidth="1"/>
    <col min="5" max="5" width="14" customWidth="1"/>
    <col min="6" max="6" width="22" customWidth="1"/>
    <col min="7" max="7" width="8" customWidth="1"/>
    <col min="8" max="10" width="13" customWidth="1"/>
  </cols>
  <sheetData>
    <row r="1" spans="1:10" ht="7.5" customHeight="1" x14ac:dyDescent="0.3"/>
    <row r="2" spans="1:10" ht="36" customHeight="1" x14ac:dyDescent="0.3">
      <c r="A2" s="11" t="s">
        <v>51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30" customHeight="1" x14ac:dyDescent="0.3">
      <c r="A3" s="1" t="s">
        <v>52</v>
      </c>
      <c r="B3" s="1" t="s">
        <v>53</v>
      </c>
      <c r="C3" s="1" t="s">
        <v>54</v>
      </c>
      <c r="D3" s="1" t="s">
        <v>55</v>
      </c>
      <c r="E3" s="1" t="s">
        <v>3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8</v>
      </c>
    </row>
    <row r="4" spans="1:10" ht="24" customHeight="1" x14ac:dyDescent="0.3">
      <c r="A4" s="2" t="s">
        <v>60</v>
      </c>
      <c r="B4" s="3" t="s">
        <v>61</v>
      </c>
      <c r="C4" s="3" t="s">
        <v>62</v>
      </c>
      <c r="D4" s="3" t="s">
        <v>63</v>
      </c>
      <c r="E4" s="2" t="s">
        <v>64</v>
      </c>
      <c r="F4" s="3" t="s">
        <v>65</v>
      </c>
      <c r="G4" s="2" t="s">
        <v>66</v>
      </c>
      <c r="H4" s="2" t="s">
        <v>66</v>
      </c>
      <c r="I4" s="2" t="s">
        <v>66</v>
      </c>
      <c r="J4" s="2" t="s">
        <v>67</v>
      </c>
    </row>
    <row r="5" spans="1:10" ht="24" customHeight="1" x14ac:dyDescent="0.3">
      <c r="A5" s="4" t="s">
        <v>60</v>
      </c>
      <c r="B5" s="5" t="s">
        <v>61</v>
      </c>
      <c r="C5" s="5" t="s">
        <v>68</v>
      </c>
      <c r="D5" s="5" t="s">
        <v>69</v>
      </c>
      <c r="E5" s="4" t="s">
        <v>64</v>
      </c>
      <c r="F5" s="5" t="s">
        <v>70</v>
      </c>
      <c r="G5" s="4" t="s">
        <v>66</v>
      </c>
      <c r="H5" s="4" t="s">
        <v>71</v>
      </c>
      <c r="I5" s="4" t="s">
        <v>71</v>
      </c>
      <c r="J5" s="4" t="s">
        <v>67</v>
      </c>
    </row>
    <row r="6" spans="1:10" ht="24" customHeight="1" x14ac:dyDescent="0.3">
      <c r="A6" s="2" t="s">
        <v>72</v>
      </c>
      <c r="B6" s="3" t="s">
        <v>73</v>
      </c>
      <c r="C6" s="3" t="s">
        <v>74</v>
      </c>
      <c r="D6" s="3" t="s">
        <v>75</v>
      </c>
      <c r="E6" s="2" t="s">
        <v>64</v>
      </c>
      <c r="F6" s="3" t="s">
        <v>76</v>
      </c>
      <c r="G6" s="2" t="s">
        <v>77</v>
      </c>
      <c r="H6" s="2" t="s">
        <v>66</v>
      </c>
      <c r="I6" s="2" t="s">
        <v>66</v>
      </c>
      <c r="J6" s="2" t="s">
        <v>67</v>
      </c>
    </row>
    <row r="7" spans="1:10" ht="24" customHeight="1" x14ac:dyDescent="0.3">
      <c r="A7" s="4" t="s">
        <v>72</v>
      </c>
      <c r="B7" s="5" t="s">
        <v>73</v>
      </c>
      <c r="C7" s="5" t="s">
        <v>78</v>
      </c>
      <c r="D7" s="5" t="s">
        <v>79</v>
      </c>
      <c r="E7" s="4" t="s">
        <v>80</v>
      </c>
      <c r="F7" s="5" t="s">
        <v>81</v>
      </c>
      <c r="G7" s="4" t="s">
        <v>66</v>
      </c>
      <c r="H7" s="4" t="s">
        <v>66</v>
      </c>
      <c r="I7" s="4" t="s">
        <v>82</v>
      </c>
      <c r="J7" s="4" t="s">
        <v>83</v>
      </c>
    </row>
    <row r="8" spans="1:10" ht="24" customHeight="1" x14ac:dyDescent="0.3">
      <c r="A8" s="2" t="s">
        <v>84</v>
      </c>
      <c r="B8" s="3" t="s">
        <v>85</v>
      </c>
      <c r="C8" s="3" t="s">
        <v>86</v>
      </c>
      <c r="D8" s="3" t="s">
        <v>87</v>
      </c>
      <c r="E8" s="2" t="s">
        <v>88</v>
      </c>
      <c r="F8" s="3" t="s">
        <v>89</v>
      </c>
      <c r="G8" s="2" t="s">
        <v>66</v>
      </c>
      <c r="H8" s="2" t="s">
        <v>90</v>
      </c>
      <c r="I8" s="2" t="s">
        <v>90</v>
      </c>
      <c r="J8" s="2" t="s">
        <v>67</v>
      </c>
    </row>
    <row r="9" spans="1:10" ht="24" customHeight="1" x14ac:dyDescent="0.3">
      <c r="A9" s="4" t="s">
        <v>84</v>
      </c>
      <c r="B9" s="5" t="s">
        <v>85</v>
      </c>
      <c r="C9" s="5" t="s">
        <v>91</v>
      </c>
      <c r="D9" s="5" t="s">
        <v>92</v>
      </c>
      <c r="E9" s="4" t="s">
        <v>64</v>
      </c>
      <c r="F9" s="5" t="s">
        <v>70</v>
      </c>
      <c r="G9" s="4" t="s">
        <v>66</v>
      </c>
      <c r="H9" s="4" t="s">
        <v>66</v>
      </c>
      <c r="I9" s="4" t="s">
        <v>82</v>
      </c>
      <c r="J9" s="4" t="s">
        <v>83</v>
      </c>
    </row>
  </sheetData>
  <mergeCells count="1">
    <mergeCell ref="A2:J2"/>
  </mergeCells>
  <dataValidations count="2">
    <dataValidation type="list" allowBlank="1" sqref="E4:E9">
      <formula1>"bin,cross,transition,wildcard"</formula1>
      <formula2>0</formula2>
    </dataValidation>
    <dataValidation type="list" allowBlank="1" sqref="J4:J9">
      <formula1>"Hit,Miss,Pending"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I10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4" customWidth="1"/>
    <col min="3" max="3" width="14" customWidth="1"/>
    <col min="4" max="4" width="46" customWidth="1"/>
    <col min="5" max="5" width="10" customWidth="1"/>
    <col min="6" max="6" width="15" customWidth="1"/>
    <col min="7" max="8" width="16" customWidth="1"/>
    <col min="9" max="9" width="12" customWidth="1"/>
  </cols>
  <sheetData>
    <row r="1" spans="1:9" ht="7.5" customHeight="1" x14ac:dyDescent="0.3"/>
    <row r="2" spans="1:9" ht="36" customHeight="1" x14ac:dyDescent="0.3">
      <c r="A2" s="11" t="s">
        <v>93</v>
      </c>
      <c r="B2" s="11"/>
      <c r="C2" s="11"/>
      <c r="D2" s="11"/>
      <c r="E2" s="11"/>
      <c r="F2" s="11"/>
      <c r="G2" s="11"/>
      <c r="H2" s="11"/>
      <c r="I2" s="11"/>
    </row>
    <row r="3" spans="1:9" ht="30" customHeight="1" x14ac:dyDescent="0.3">
      <c r="A3" s="1" t="s">
        <v>94</v>
      </c>
      <c r="B3" s="1" t="s">
        <v>95</v>
      </c>
      <c r="C3" s="1" t="s">
        <v>3</v>
      </c>
      <c r="D3" s="1" t="s">
        <v>96</v>
      </c>
      <c r="E3" s="1" t="s">
        <v>1</v>
      </c>
      <c r="F3" s="1" t="s">
        <v>97</v>
      </c>
      <c r="G3" s="1" t="s">
        <v>98</v>
      </c>
      <c r="H3" s="1" t="s">
        <v>99</v>
      </c>
      <c r="I3" s="1" t="s">
        <v>8</v>
      </c>
    </row>
    <row r="4" spans="1:9" ht="25.5" customHeight="1" x14ac:dyDescent="0.3">
      <c r="A4" s="2" t="s">
        <v>100</v>
      </c>
      <c r="B4" s="3" t="s">
        <v>101</v>
      </c>
      <c r="C4" s="2" t="s">
        <v>102</v>
      </c>
      <c r="D4" s="3" t="s">
        <v>103</v>
      </c>
      <c r="E4" s="2" t="s">
        <v>11</v>
      </c>
      <c r="F4" s="2" t="s">
        <v>43</v>
      </c>
      <c r="G4" s="2" t="s">
        <v>104</v>
      </c>
      <c r="H4" s="2" t="s">
        <v>104</v>
      </c>
      <c r="I4" s="2" t="s">
        <v>104</v>
      </c>
    </row>
    <row r="5" spans="1:9" ht="25.5" customHeight="1" x14ac:dyDescent="0.3">
      <c r="A5" s="4" t="s">
        <v>105</v>
      </c>
      <c r="B5" s="5" t="s">
        <v>106</v>
      </c>
      <c r="C5" s="4" t="s">
        <v>102</v>
      </c>
      <c r="D5" s="5" t="s">
        <v>107</v>
      </c>
      <c r="E5" s="4" t="s">
        <v>19</v>
      </c>
      <c r="F5" s="4" t="s">
        <v>13</v>
      </c>
      <c r="G5" s="4" t="s">
        <v>104</v>
      </c>
      <c r="H5" s="4" t="s">
        <v>104</v>
      </c>
      <c r="I5" s="4" t="s">
        <v>104</v>
      </c>
    </row>
    <row r="6" spans="1:9" ht="25.5" customHeight="1" x14ac:dyDescent="0.3">
      <c r="A6" s="2" t="s">
        <v>108</v>
      </c>
      <c r="B6" s="3" t="s">
        <v>109</v>
      </c>
      <c r="C6" s="2" t="s">
        <v>102</v>
      </c>
      <c r="D6" s="3" t="s">
        <v>110</v>
      </c>
      <c r="E6" s="2" t="s">
        <v>19</v>
      </c>
      <c r="F6" s="2" t="s">
        <v>13</v>
      </c>
      <c r="G6" s="2" t="s">
        <v>104</v>
      </c>
      <c r="H6" s="2" t="s">
        <v>111</v>
      </c>
      <c r="I6" s="2" t="s">
        <v>111</v>
      </c>
    </row>
    <row r="7" spans="1:9" ht="25.5" customHeight="1" x14ac:dyDescent="0.3">
      <c r="A7" s="4" t="s">
        <v>112</v>
      </c>
      <c r="B7" s="5" t="s">
        <v>113</v>
      </c>
      <c r="C7" s="4" t="s">
        <v>102</v>
      </c>
      <c r="D7" s="5" t="s">
        <v>114</v>
      </c>
      <c r="E7" s="4" t="s">
        <v>34</v>
      </c>
      <c r="F7" s="4" t="s">
        <v>36</v>
      </c>
      <c r="G7" s="4" t="s">
        <v>104</v>
      </c>
      <c r="H7" s="4"/>
      <c r="I7" s="4" t="s">
        <v>39</v>
      </c>
    </row>
    <row r="8" spans="1:9" ht="25.5" customHeight="1" x14ac:dyDescent="0.3">
      <c r="A8" s="2" t="s">
        <v>115</v>
      </c>
      <c r="B8" s="3" t="s">
        <v>116</v>
      </c>
      <c r="C8" s="2" t="s">
        <v>117</v>
      </c>
      <c r="D8" s="3" t="s">
        <v>118</v>
      </c>
      <c r="E8" s="2" t="s">
        <v>11</v>
      </c>
      <c r="F8" s="2" t="s">
        <v>119</v>
      </c>
      <c r="G8" s="2" t="s">
        <v>104</v>
      </c>
      <c r="H8" s="2" t="s">
        <v>104</v>
      </c>
      <c r="I8" s="2" t="s">
        <v>104</v>
      </c>
    </row>
    <row r="9" spans="1:9" ht="25.5" customHeight="1" x14ac:dyDescent="0.3">
      <c r="A9" s="4" t="s">
        <v>120</v>
      </c>
      <c r="B9" s="5" t="s">
        <v>121</v>
      </c>
      <c r="C9" s="4" t="s">
        <v>122</v>
      </c>
      <c r="D9" s="5" t="s">
        <v>123</v>
      </c>
      <c r="E9" s="4" t="s">
        <v>19</v>
      </c>
      <c r="F9" s="4" t="s">
        <v>124</v>
      </c>
      <c r="G9" s="4" t="s">
        <v>67</v>
      </c>
      <c r="H9" s="4" t="s">
        <v>67</v>
      </c>
      <c r="I9" s="4" t="s">
        <v>104</v>
      </c>
    </row>
    <row r="10" spans="1:9" ht="25.5" customHeight="1" x14ac:dyDescent="0.3">
      <c r="A10" s="2" t="s">
        <v>125</v>
      </c>
      <c r="B10" s="3" t="s">
        <v>126</v>
      </c>
      <c r="C10" s="2" t="s">
        <v>127</v>
      </c>
      <c r="D10" s="3" t="s">
        <v>128</v>
      </c>
      <c r="E10" s="2" t="s">
        <v>34</v>
      </c>
      <c r="F10" s="2" t="s">
        <v>129</v>
      </c>
      <c r="G10" s="2" t="s">
        <v>104</v>
      </c>
      <c r="H10" s="2" t="s">
        <v>104</v>
      </c>
      <c r="I10" s="2" t="s">
        <v>104</v>
      </c>
    </row>
  </sheetData>
  <mergeCells count="1">
    <mergeCell ref="A2:I2"/>
  </mergeCells>
  <dataValidations count="4">
    <dataValidation type="list" allowBlank="1" sqref="C4:C10">
      <formula1>"concurrent,immediate,assume,cover"</formula1>
      <formula2>0</formula2>
    </dataValidation>
    <dataValidation type="list" allowBlank="1" sqref="F4:F10">
      <formula1>"Safety,Functional,Interface,Structural,Reachability,Constraint"</formula1>
      <formula2>0</formula2>
    </dataValidation>
    <dataValidation type="list" allowBlank="1" sqref="G4:H10">
      <formula1>"Pass,Fail,Hit"</formula1>
      <formula2>0</formula2>
    </dataValidation>
    <dataValidation type="list" allowBlank="1" sqref="I4:I10">
      <formula1>"Pass,Fail,Pending"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620"/>
  </sheetPr>
  <dimension ref="A1:D34"/>
  <sheetViews>
    <sheetView showGridLines="0" tabSelected="1" zoomScaleNormal="100" workbookViewId="0">
      <selection activeCell="E7" sqref="E7"/>
    </sheetView>
  </sheetViews>
  <sheetFormatPr defaultColWidth="8.6640625" defaultRowHeight="14.4" x14ac:dyDescent="0.3"/>
  <cols>
    <col min="1" max="1" width="26" customWidth="1"/>
    <col min="2" max="2" width="48" customWidth="1"/>
    <col min="3" max="3" width="28" customWidth="1"/>
    <col min="4" max="4" width="48" customWidth="1"/>
  </cols>
  <sheetData>
    <row r="1" spans="1:4" ht="7.5" customHeight="1" x14ac:dyDescent="0.3"/>
    <row r="2" spans="1:4" ht="36" customHeight="1" x14ac:dyDescent="0.3">
      <c r="A2" s="11" t="s">
        <v>130</v>
      </c>
      <c r="B2" s="11"/>
      <c r="C2" s="11"/>
      <c r="D2" s="11"/>
    </row>
    <row r="4" spans="1:4" ht="16.5" customHeight="1" x14ac:dyDescent="0.3">
      <c r="A4" s="13" t="s">
        <v>131</v>
      </c>
      <c r="B4" s="13"/>
      <c r="C4" s="13" t="s">
        <v>132</v>
      </c>
      <c r="D4" s="13"/>
    </row>
    <row r="5" spans="1:4" ht="26.4" x14ac:dyDescent="0.3">
      <c r="A5" s="7" t="s">
        <v>17</v>
      </c>
      <c r="B5" s="5" t="s">
        <v>133</v>
      </c>
      <c r="C5" s="7" t="s">
        <v>102</v>
      </c>
      <c r="D5" s="5" t="s">
        <v>134</v>
      </c>
    </row>
    <row r="6" spans="1:4" ht="26.4" x14ac:dyDescent="0.3">
      <c r="A6" s="8" t="s">
        <v>31</v>
      </c>
      <c r="B6" s="3" t="s">
        <v>135</v>
      </c>
      <c r="C6" s="8" t="s">
        <v>117</v>
      </c>
      <c r="D6" s="3" t="s">
        <v>136</v>
      </c>
    </row>
    <row r="7" spans="1:4" ht="16.5" customHeight="1" x14ac:dyDescent="0.3">
      <c r="A7" s="7" t="s">
        <v>39</v>
      </c>
      <c r="B7" s="5" t="s">
        <v>137</v>
      </c>
      <c r="C7" s="7" t="s">
        <v>127</v>
      </c>
      <c r="D7" s="5" t="s">
        <v>138</v>
      </c>
    </row>
    <row r="8" spans="1:4" ht="16.5" customHeight="1" x14ac:dyDescent="0.3">
      <c r="A8" s="8" t="s">
        <v>139</v>
      </c>
      <c r="B8" s="3" t="s">
        <v>140</v>
      </c>
      <c r="C8" s="8" t="s">
        <v>122</v>
      </c>
      <c r="D8" s="3" t="s">
        <v>141</v>
      </c>
    </row>
    <row r="9" spans="1:4" ht="16.5" customHeight="1" x14ac:dyDescent="0.3">
      <c r="A9" s="7" t="s">
        <v>142</v>
      </c>
      <c r="B9" s="5" t="s">
        <v>143</v>
      </c>
    </row>
    <row r="10" spans="1:4" ht="16.5" customHeight="1" x14ac:dyDescent="0.3">
      <c r="C10" s="13" t="s">
        <v>144</v>
      </c>
      <c r="D10" s="13"/>
    </row>
    <row r="11" spans="1:4" ht="16.5" customHeight="1" x14ac:dyDescent="0.3">
      <c r="A11" s="13" t="s">
        <v>145</v>
      </c>
      <c r="B11" s="13"/>
      <c r="C11" s="7" t="s">
        <v>43</v>
      </c>
      <c r="D11" s="5" t="s">
        <v>146</v>
      </c>
    </row>
    <row r="12" spans="1:4" ht="16.5" customHeight="1" x14ac:dyDescent="0.3">
      <c r="A12" s="7" t="s">
        <v>13</v>
      </c>
      <c r="B12" s="5" t="s">
        <v>147</v>
      </c>
      <c r="C12" s="8" t="s">
        <v>13</v>
      </c>
      <c r="D12" s="3" t="s">
        <v>148</v>
      </c>
    </row>
    <row r="13" spans="1:4" ht="16.5" customHeight="1" x14ac:dyDescent="0.3">
      <c r="A13" s="8" t="s">
        <v>26</v>
      </c>
      <c r="B13" s="3" t="s">
        <v>149</v>
      </c>
      <c r="C13" s="7" t="s">
        <v>36</v>
      </c>
      <c r="D13" s="5" t="s">
        <v>150</v>
      </c>
    </row>
    <row r="14" spans="1:4" ht="16.5" customHeight="1" x14ac:dyDescent="0.3">
      <c r="A14" s="7" t="s">
        <v>36</v>
      </c>
      <c r="B14" s="5" t="s">
        <v>151</v>
      </c>
      <c r="C14" s="8" t="s">
        <v>119</v>
      </c>
      <c r="D14" s="3" t="s">
        <v>152</v>
      </c>
    </row>
    <row r="15" spans="1:4" ht="26.4" x14ac:dyDescent="0.3">
      <c r="A15" s="8" t="s">
        <v>43</v>
      </c>
      <c r="B15" s="3" t="s">
        <v>153</v>
      </c>
      <c r="C15" s="7" t="s">
        <v>124</v>
      </c>
      <c r="D15" s="5" t="s">
        <v>154</v>
      </c>
    </row>
    <row r="16" spans="1:4" ht="16.5" customHeight="1" x14ac:dyDescent="0.3">
      <c r="A16" s="7" t="s">
        <v>119</v>
      </c>
      <c r="B16" s="5" t="s">
        <v>155</v>
      </c>
      <c r="C16" s="8" t="s">
        <v>129</v>
      </c>
      <c r="D16" s="3" t="s">
        <v>156</v>
      </c>
    </row>
    <row r="18" spans="1:4" ht="16.5" customHeight="1" x14ac:dyDescent="0.3">
      <c r="A18" s="13" t="s">
        <v>157</v>
      </c>
      <c r="B18" s="13"/>
      <c r="C18" s="13" t="s">
        <v>158</v>
      </c>
      <c r="D18" s="13"/>
    </row>
    <row r="19" spans="1:4" ht="26.4" x14ac:dyDescent="0.3">
      <c r="A19" s="7" t="s">
        <v>44</v>
      </c>
      <c r="B19" s="5" t="s">
        <v>159</v>
      </c>
      <c r="C19" s="7" t="s">
        <v>104</v>
      </c>
      <c r="D19" s="5" t="s">
        <v>160</v>
      </c>
    </row>
    <row r="20" spans="1:4" ht="16.5" customHeight="1" x14ac:dyDescent="0.3">
      <c r="A20" s="8" t="s">
        <v>14</v>
      </c>
      <c r="B20" s="3" t="s">
        <v>161</v>
      </c>
      <c r="C20" s="8" t="s">
        <v>111</v>
      </c>
      <c r="D20" s="3" t="s">
        <v>162</v>
      </c>
    </row>
    <row r="21" spans="1:4" ht="16.5" customHeight="1" x14ac:dyDescent="0.3">
      <c r="A21" s="7" t="s">
        <v>27</v>
      </c>
      <c r="B21" s="5" t="s">
        <v>163</v>
      </c>
      <c r="C21" s="7" t="s">
        <v>39</v>
      </c>
      <c r="D21" s="5" t="s">
        <v>164</v>
      </c>
    </row>
    <row r="22" spans="1:4" ht="16.5" customHeight="1" x14ac:dyDescent="0.3">
      <c r="A22" s="8" t="s">
        <v>165</v>
      </c>
      <c r="B22" s="3" t="s">
        <v>166</v>
      </c>
    </row>
    <row r="23" spans="1:4" ht="16.5" customHeight="1" x14ac:dyDescent="0.3">
      <c r="C23" s="13" t="s">
        <v>173</v>
      </c>
      <c r="D23" s="13"/>
    </row>
    <row r="24" spans="1:4" ht="16.5" customHeight="1" x14ac:dyDescent="0.3">
      <c r="A24" s="13" t="s">
        <v>167</v>
      </c>
      <c r="B24" s="13"/>
      <c r="C24" s="7" t="s">
        <v>67</v>
      </c>
      <c r="D24" s="5" t="s">
        <v>174</v>
      </c>
    </row>
    <row r="25" spans="1:4" ht="16.5" customHeight="1" x14ac:dyDescent="0.3">
      <c r="A25" s="7" t="s">
        <v>64</v>
      </c>
      <c r="B25" s="5" t="s">
        <v>168</v>
      </c>
      <c r="C25" s="8" t="s">
        <v>83</v>
      </c>
      <c r="D25" s="3" t="s">
        <v>175</v>
      </c>
    </row>
    <row r="26" spans="1:4" ht="16.5" customHeight="1" x14ac:dyDescent="0.3">
      <c r="A26" s="8" t="s">
        <v>88</v>
      </c>
      <c r="B26" s="3" t="s">
        <v>169</v>
      </c>
      <c r="C26" s="7" t="s">
        <v>39</v>
      </c>
      <c r="D26" s="5" t="s">
        <v>176</v>
      </c>
    </row>
    <row r="27" spans="1:4" ht="16.5" customHeight="1" x14ac:dyDescent="0.3">
      <c r="A27" s="7" t="s">
        <v>80</v>
      </c>
      <c r="B27" s="5" t="s">
        <v>170</v>
      </c>
    </row>
    <row r="28" spans="1:4" ht="16.5" customHeight="1" x14ac:dyDescent="0.3">
      <c r="A28" s="8" t="s">
        <v>171</v>
      </c>
      <c r="B28" s="3" t="s">
        <v>172</v>
      </c>
    </row>
    <row r="29" spans="1:4" ht="16.5" customHeight="1" x14ac:dyDescent="0.3"/>
    <row r="30" spans="1:4" ht="16.5" customHeight="1" x14ac:dyDescent="0.3"/>
    <row r="31" spans="1:4" ht="16.5" customHeight="1" x14ac:dyDescent="0.3"/>
    <row r="32" spans="1:4" ht="16.5" customHeight="1" x14ac:dyDescent="0.3"/>
    <row r="33" ht="16.5" customHeight="1" x14ac:dyDescent="0.3"/>
    <row r="34" ht="16.5" customHeight="1" x14ac:dyDescent="0.3"/>
  </sheetData>
  <mergeCells count="9">
    <mergeCell ref="A18:B18"/>
    <mergeCell ref="C18:D18"/>
    <mergeCell ref="A24:B24"/>
    <mergeCell ref="C23:D23"/>
    <mergeCell ref="A2:D2"/>
    <mergeCell ref="A4:B4"/>
    <mergeCell ref="C4:D4"/>
    <mergeCell ref="C10:D10"/>
    <mergeCell ref="A11:B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RTM</vt:lpstr>
      <vt:lpstr>Func Cov</vt:lpstr>
      <vt:lpstr>SVA</vt:lpstr>
      <vt:lpstr>Legends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Khaled Hamed</dc:creator>
  <dc:description/>
  <cp:lastModifiedBy>scs 2492022</cp:lastModifiedBy>
  <cp:revision>0</cp:revision>
  <dcterms:created xsi:type="dcterms:W3CDTF">2026-06-20T11:13:43Z</dcterms:created>
  <dcterms:modified xsi:type="dcterms:W3CDTF">2026-07-08T08:26:10Z</dcterms:modified>
  <dc:language>en-US</dc:language>
</cp:coreProperties>
</file>